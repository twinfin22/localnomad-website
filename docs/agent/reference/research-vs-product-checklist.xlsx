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arch vs Produc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<sst xmlns="http://schemas.openxmlformats.org/spreadsheetml/2006/main" count="229" uniqueCount="129">
  <si>
    <t xml:space="preserve">#</t>
  </si>
  <si>
    <t xml:space="preserve">Category</t>
  </si>
  <si>
    <t xml:space="preserve">Research Finding / Requirement</t>
  </si>
  <si>
    <t xml:space="preserve">Status</t>
  </si>
  <si>
    <t xml:space="preserve">Codebase Evidence</t>
  </si>
  <si>
    <t xml:space="preserve">Action Needed</t>
  </si>
  <si>
    <t xml:space="preserve">Priority #1: Korea F-1-D (Digital Nomad) — Search surge + no one-stop guide</t>
  </si>
  <si>
    <t xml:space="preserve">F-1-D</t>
  </si>
  <si>
    <t xml:space="preserve">Income requirement $66K (GNI x2) documented</t>
  </si>
  <si>
    <t xml:space="preserve">DONE</t>
  </si>
  <si>
    <t xml:space="preserve">data/visas/en/f-1-d.json: $66,000 USD (~88M KRW/year, GNI x 2)</t>
  </si>
  <si>
    <t xml:space="preserve">None</t>
  </si>
  <si>
    <r>
      <rPr>
        <sz val="10"/>
        <rFont val="Arial"/>
        <family val="0"/>
        <charset val="1"/>
      </rPr>
      <t xml:space="preserve">Insurance requirement 1</t>
    </r>
    <r>
      <rPr>
        <sz val="10"/>
        <rFont val="DejaVu Sans"/>
        <family val="2"/>
      </rPr>
      <t xml:space="preserve">억원 </t>
    </r>
    <r>
      <rPr>
        <sz val="10"/>
        <rFont val="Arial"/>
        <family val="0"/>
        <charset val="1"/>
      </rPr>
      <t xml:space="preserve">documented</t>
    </r>
  </si>
  <si>
    <t xml:space="preserve">f-1-d.json: 100M KRW equivalent, SafetyWing/Cigna/Allianz listed</t>
  </si>
  <si>
    <t xml:space="preserve">Step-by-step application (6+ steps)</t>
  </si>
  <si>
    <t xml:space="preserve">f-1-d.json: 6 steps from eligibility check to ARC registration</t>
  </si>
  <si>
    <t xml:space="preserve">FAQ section (common pain points)</t>
  </si>
  <si>
    <t xml:space="preserve">f-1-d.json: 6 FAQs covering tax, visa switch, family</t>
  </si>
  <si>
    <t xml:space="preserve">4 locales (en/ja/zh-tw/vi)</t>
  </si>
  <si>
    <t xml:space="preserve">data/visas/{en,ja,zh-tw,vi}/f-1-d.json all exist</t>
  </si>
  <si>
    <t xml:space="preserve">SEO optimized (canonical, hreflang, FAQ JSON-LD)</t>
  </si>
  <si>
    <t xml:space="preserve">lib/seo/metadata.ts: generateAlternates(), FAQPage schema on detail pages</t>
  </si>
  <si>
    <t xml:space="preserve">Embassy-specific processing times by country</t>
  </si>
  <si>
    <t xml:space="preserve">GAP</t>
  </si>
  <si>
    <t xml:space="preserve">Not in f-1-d.json. Only generic '1-3 weeks'</t>
  </si>
  <si>
    <t xml:space="preserve">Track A: Add top-5 country processing times</t>
  </si>
  <si>
    <t xml:space="preserve">Visa transition paths (from/to F-1-D)</t>
  </si>
  <si>
    <t xml:space="preserve">f-1-d.json: pathsTo (E-7, D-8, D-10) + pathsFrom (D-10)</t>
  </si>
  <si>
    <t xml:space="preserve">Priority #2: Taiwan DNV (Digital Nomad Visa) — Blue ocean, 2025 launch</t>
  </si>
  <si>
    <t xml:space="preserve">DNV</t>
  </si>
  <si>
    <t xml:space="preserve">Age-based income thresholds ($20K/&lt;30, $40K/30+)</t>
  </si>
  <si>
    <t xml:space="preserve">data/visas/tw/en/dnv.json: both thresholds documented</t>
  </si>
  <si>
    <t xml:space="preserve">BOCA/TECO application steps</t>
  </si>
  <si>
    <t xml:space="preserve">dnv.json: 5 steps with TECO office routing</t>
  </si>
  <si>
    <t xml:space="preserve">Taiwan legal compliance (no scores/percentages)</t>
  </si>
  <si>
    <t xml:space="preserve">No scoring logic. Client-side only. English+Chinese disclaimers</t>
  </si>
  <si>
    <t xml:space="preserve">Gold Card comparison table</t>
  </si>
  <si>
    <t xml:space="preserve">DNV and Gold Card are separate pages. No side-by-side on DNV page itself</t>
  </si>
  <si>
    <t xml:space="preserve">Track A: Add DNV vs Gold Card comparison section or link to /compare</t>
  </si>
  <si>
    <t xml:space="preserve">Extension/renewal info (6mo ext, max 1yr)</t>
  </si>
  <si>
    <t xml:space="preserve">dnv.json: extension documented, APRC non-eligibility noted</t>
  </si>
  <si>
    <t xml:space="preserve">Locales: en + zh-tw</t>
  </si>
  <si>
    <t xml:space="preserve">data/visas/tw/{en,zh-tw}/dnv.json exist</t>
  </si>
  <si>
    <t xml:space="preserve">2026 policy update (2-year validity)</t>
  </si>
  <si>
    <t xml:space="preserve">dnv.json still says 6mo + 6mo extension (max 1yr). 2026 2-year change not reflected</t>
  </si>
  <si>
    <t xml:space="preserve">Track A: Update DNV with 2026 policy changes when confirmed</t>
  </si>
  <si>
    <t xml:space="preserve">Priority #3: E-7 → F-2 Path Simulator — Killer use case</t>
  </si>
  <si>
    <t xml:space="preserve">Path Sim</t>
  </si>
  <si>
    <t xml:space="preserve">E-7→F-2 path with timeline (5-8 years)</t>
  </si>
  <si>
    <t xml:space="preserve">lib/visa/path-data.ts: e7-to-f2 path, 5-8 year duration</t>
  </si>
  <si>
    <r>
      <rPr>
        <sz val="10"/>
        <rFont val="Arial"/>
        <family val="0"/>
        <charset val="1"/>
      </rPr>
      <t xml:space="preserve">Points system (80</t>
    </r>
    <r>
      <rPr>
        <sz val="10"/>
        <rFont val="DejaVu Sans"/>
        <family val="2"/>
      </rPr>
      <t xml:space="preserve">점 </t>
    </r>
    <r>
      <rPr>
        <sz val="10"/>
        <rFont val="Arial"/>
        <family val="0"/>
        <charset val="1"/>
      </rPr>
      <t xml:space="preserve">minimum) explained</t>
    </r>
  </si>
  <si>
    <t xml:space="preserve">path-data.ts: Step 2 mentions 80 points, TOPIK, income, KIIP</t>
  </si>
  <si>
    <t xml:space="preserve">Extended path: F-1-D→E-7→F-2</t>
  </si>
  <si>
    <t xml:space="preserve">path-data.ts: f1d-to-e7-to-f2 full progression path</t>
  </si>
  <si>
    <t xml:space="preserve">URL state sharing (?from=e-7&amp;to=f-2)</t>
  </si>
  <si>
    <t xml:space="preserve">PARTIAL</t>
  </si>
  <si>
    <t xml:space="preserve">PRODUCT-SPEC.md mentions URL state, needs verification in actual component</t>
  </si>
  <si>
    <t xml:space="preserve">Verify URL state works in VisaPathSimulator component</t>
  </si>
  <si>
    <t xml:space="preserve">Taiwan path simulator integration</t>
  </si>
  <si>
    <t xml:space="preserve">Routes exist (/taiwan/visa/path) but logic is Korea-only</t>
  </si>
  <si>
    <t xml:space="preserve">Track A: Add Taiwan visa transition paths</t>
  </si>
  <si>
    <t xml:space="preserve">Priority #4: Korea H-1 (Working Holiday) — Red ocean, needs differentiation</t>
  </si>
  <si>
    <t xml:space="preserve">H-1</t>
  </si>
  <si>
    <t xml:space="preserve">Basic guide (eligibility, steps, docs, FAQ)</t>
  </si>
  <si>
    <t xml:space="preserve">data/visas/en/h-1.json: comprehensive base content</t>
  </si>
  <si>
    <t xml:space="preserve">Nationality-specific age limits (US/AU/CA/JP etc.)</t>
  </si>
  <si>
    <t xml:space="preserve">h-1.json lists qualifying countries but no per-country age limits, quotas, fees</t>
  </si>
  <si>
    <t xml:space="preserve">Track A: Add nationality selector + country-specific data</t>
  </si>
  <si>
    <t xml:space="preserve">Quota opening calendar per nationality</t>
  </si>
  <si>
    <t xml:space="preserve">Not implemented. No calendar component or data</t>
  </si>
  <si>
    <t xml:space="preserve">Track A: Add quota calendar (key differentiator vs GoGoHanguk)</t>
  </si>
  <si>
    <t xml:space="preserve">Country-specific embassy processing times</t>
  </si>
  <si>
    <t xml:space="preserve">Only generic processing info</t>
  </si>
  <si>
    <t xml:space="preserve">Track A: Add per-country processing data</t>
  </si>
  <si>
    <t xml:space="preserve">Differentiation from GoGoHanguk/JENZA/Allo Korea</t>
  </si>
  <si>
    <t xml:space="preserve">Currently same generic content as competitors</t>
  </si>
  <si>
    <t xml:space="preserve">Track A: Nationality filter + quota calendar = competitive moat</t>
  </si>
  <si>
    <t xml:space="preserve">Priority #5: Taiwan Gold Card — Strong competition (taiwangoldcard.com)</t>
  </si>
  <si>
    <t xml:space="preserve">Gold Card</t>
  </si>
  <si>
    <t xml:space="preserve">Full guide (requirements, steps, FAQ)</t>
  </si>
  <si>
    <t xml:space="preserve">data/visas/tw/en/gold-card.json: comprehensive</t>
  </si>
  <si>
    <t xml:space="preserve">Monthly issuance stats for credibility</t>
  </si>
  <si>
    <t xml:space="preserve">Research has stats (14,907 cumulative, ~300/mo) but not in product</t>
  </si>
  <si>
    <t xml:space="preserve">Low priority: Consider adding stats section for credibility</t>
  </si>
  <si>
    <t xml:space="preserve">SEO &amp; Infrastructure</t>
  </si>
  <si>
    <t xml:space="preserve">SEO</t>
  </si>
  <si>
    <t xml:space="preserve">sitemap.xml with all pages + Taiwan</t>
  </si>
  <si>
    <t xml:space="preserve">sitemap.ts: all Korea + Taiwan pages, all locales</t>
  </si>
  <si>
    <t xml:space="preserve">hreflang tags (en/ja/zh-tw/vi)</t>
  </si>
  <si>
    <t xml:space="preserve">lib/seo/metadata.ts: generateAlternates() with ISO formats</t>
  </si>
  <si>
    <t xml:space="preserve">Canonical URLs per page</t>
  </si>
  <si>
    <t xml:space="preserve">alternates.canonical in metadata generation</t>
  </si>
  <si>
    <t xml:space="preserve">FAQ structured data (JSON-LD)</t>
  </si>
  <si>
    <t xml:space="preserve">FAQPage schema on visa detail pages</t>
  </si>
  <si>
    <t xml:space="preserve">Google Search Console setup</t>
  </si>
  <si>
    <t xml:space="preserve">Sitemap exists but GSC not registered</t>
  </si>
  <si>
    <t xml:space="preserve">Manual: Register site + submit sitemap (ASAP after deploy)</t>
  </si>
  <si>
    <t xml:space="preserve">OG images per visa page</t>
  </si>
  <si>
    <t xml:space="preserve">No page-specific OG images</t>
  </si>
  <si>
    <t xml:space="preserve">Growth phase: Add visa-specific social preview images</t>
  </si>
  <si>
    <t xml:space="preserve">Legal Compliance</t>
  </si>
  <si>
    <t xml:space="preserve">Legal KR</t>
  </si>
  <si>
    <t xml:space="preserve">No 'you qualify' / eligibility language</t>
  </si>
  <si>
    <t xml:space="preserve">Verified in quiz components and visa data</t>
  </si>
  <si>
    <t xml:space="preserve">Disclaimer on all quiz/tool pages</t>
  </si>
  <si>
    <t xml:space="preserve">LegalDisclaimer component with auto-detect country</t>
  </si>
  <si>
    <t xml:space="preserve">Legal TW</t>
  </si>
  <si>
    <t xml:space="preserve">No scores/percentages/match levels</t>
  </si>
  <si>
    <t xml:space="preserve">No scoring logic in Taiwan components</t>
  </si>
  <si>
    <r>
      <rPr>
        <sz val="10"/>
        <rFont val="Arial"/>
        <family val="0"/>
        <charset val="1"/>
      </rPr>
      <t xml:space="preserve">English + </t>
    </r>
    <r>
      <rPr>
        <sz val="10"/>
        <rFont val="DejaVu Sans"/>
        <family val="2"/>
      </rPr>
      <t xml:space="preserve">繁體中文 </t>
    </r>
    <r>
      <rPr>
        <sz val="10"/>
        <rFont val="Arial"/>
        <family val="0"/>
        <charset val="1"/>
      </rPr>
      <t xml:space="preserve">disclaimers</t>
    </r>
  </si>
  <si>
    <t xml:space="preserve">Taiwan disclaimer component has bilingual text</t>
  </si>
  <si>
    <t xml:space="preserve">Client-side only data processing</t>
  </si>
  <si>
    <t xml:space="preserve">localStorage only, no server transmission for TW features</t>
  </si>
  <si>
    <t xml:space="preserve">Legal</t>
  </si>
  <si>
    <t xml:space="preserve">Full legal audit for GREEN status</t>
  </si>
  <si>
    <t xml:space="preserve">Currently YELLOW. Track A content additions may introduce new risk</t>
  </si>
  <si>
    <t xml:space="preserve">Post Track A: Run legal compliance audit prompt</t>
  </si>
  <si>
    <t xml:space="preserve">Total</t>
  </si>
  <si>
    <t xml:space="preserve">F-1-D (#1)</t>
  </si>
  <si>
    <t xml:space="preserve">Taiwan DNV (#2)</t>
  </si>
  <si>
    <t xml:space="preserve">Path Sim (#3)</t>
  </si>
  <si>
    <t xml:space="preserve">H-1 (#4)</t>
  </si>
  <si>
    <t xml:space="preserve">Gold Card (#5)</t>
  </si>
  <si>
    <t xml:space="preserve">TOTAL</t>
  </si>
  <si>
    <t xml:space="preserve">Completion Rate</t>
  </si>
  <si>
    <t xml:space="preserve">Legend:</t>
  </si>
  <si>
    <t xml:space="preserve">Fully implemented in codebase</t>
  </si>
  <si>
    <t xml:space="preserve">Partially implemented, needs verification</t>
  </si>
  <si>
    <t xml:space="preserve">Not yet implemented (action needed)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</si>
</sst>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2D3748"/>
        <bgColor rgb="FF333300"/>
      </patternFill>
    </fill>
    <fill>
      <patternFill patternType="solid">
        <fgColor rgb="FF4A5568"/>
        <bgColor rgb="FF2D3748"/>
      </patternFill>
    </fill>
    <fill>
      <patternFill patternType="solid">
        <fgColor rgb="FFC6F6D5"/>
        <bgColor rgb="FFCCFFFF"/>
      </patternFill>
    </fill>
    <fill>
      <patternFill patternType="solid">
        <fgColor rgb="FFFED7D7"/>
        <bgColor rgb="FFE2E8F0"/>
      </patternFill>
    </fill>
    <fill>
      <patternFill patternType="solid">
        <fgColor rgb="FFFEFCBF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CBF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F6D5"/>
      <rgbColor rgb="FFFFFF99"/>
      <rgbColor rgb="FF99CCFF"/>
      <rgbColor rgb="FFFF99CC"/>
      <rgbColor rgb="FFCC99FF"/>
      <rgbColor rgb="FFFED7D7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7.75" hidden="false" customHeight="true" outlineLevel="0" collapsed="false">
      <c r="A2" s="2" t="s">
        <v>6</v>
      </c>
      <c r="B2" s="2"/>
      <c r="C2" s="2"/>
      <c r="D2" s="2"/>
      <c r="E2" s="2"/>
      <c r="F2" s="2"/>
    </row>
    <row r="3" customFormat="false" ht="49.5" hidden="false" customHeight="true" outlineLevel="0" collapsed="false">
      <c r="A3" s="3" t="n">
        <v>1</v>
      </c>
      <c r="B3" s="3" t="s">
        <v>7</v>
      </c>
      <c r="C3" s="3" t="s">
        <v>8</v>
      </c>
      <c r="D3" s="4" t="s">
        <v>9</v>
      </c>
      <c r="E3" s="3" t="s">
        <v>10</v>
      </c>
      <c r="F3" s="3" t="s">
        <v>11</v>
      </c>
    </row>
    <row r="4" customFormat="false" ht="49.5" hidden="false" customHeight="true" outlineLevel="0" collapsed="false">
      <c r="A4" s="3" t="n">
        <v>2</v>
      </c>
      <c r="B4" s="3" t="s">
        <v>7</v>
      </c>
      <c r="C4" s="3" t="s">
        <v>12</v>
      </c>
      <c r="D4" s="4" t="s">
        <v>9</v>
      </c>
      <c r="E4" s="3" t="s">
        <v>13</v>
      </c>
      <c r="F4" s="3" t="s">
        <v>11</v>
      </c>
    </row>
    <row r="5" customFormat="false" ht="49.5" hidden="false" customHeight="true" outlineLevel="0" collapsed="false">
      <c r="A5" s="3" t="n">
        <v>3</v>
      </c>
      <c r="B5" s="3" t="s">
        <v>7</v>
      </c>
      <c r="C5" s="3" t="s">
        <v>14</v>
      </c>
      <c r="D5" s="4" t="s">
        <v>9</v>
      </c>
      <c r="E5" s="3" t="s">
        <v>15</v>
      </c>
      <c r="F5" s="3" t="s">
        <v>11</v>
      </c>
    </row>
    <row r="6" customFormat="false" ht="49.5" hidden="false" customHeight="true" outlineLevel="0" collapsed="false">
      <c r="A6" s="3" t="n">
        <v>4</v>
      </c>
      <c r="B6" s="3" t="s">
        <v>7</v>
      </c>
      <c r="C6" s="3" t="s">
        <v>16</v>
      </c>
      <c r="D6" s="4" t="s">
        <v>9</v>
      </c>
      <c r="E6" s="3" t="s">
        <v>17</v>
      </c>
      <c r="F6" s="3" t="s">
        <v>11</v>
      </c>
    </row>
    <row r="7" customFormat="false" ht="49.5" hidden="false" customHeight="true" outlineLevel="0" collapsed="false">
      <c r="A7" s="3" t="n">
        <v>5</v>
      </c>
      <c r="B7" s="3" t="s">
        <v>7</v>
      </c>
      <c r="C7" s="3" t="s">
        <v>18</v>
      </c>
      <c r="D7" s="4" t="s">
        <v>9</v>
      </c>
      <c r="E7" s="3" t="s">
        <v>19</v>
      </c>
      <c r="F7" s="3" t="s">
        <v>11</v>
      </c>
    </row>
    <row r="8" customFormat="false" ht="49.5" hidden="false" customHeight="true" outlineLevel="0" collapsed="false">
      <c r="A8" s="3" t="n">
        <v>6</v>
      </c>
      <c r="B8" s="3" t="s">
        <v>7</v>
      </c>
      <c r="C8" s="3" t="s">
        <v>20</v>
      </c>
      <c r="D8" s="4" t="s">
        <v>9</v>
      </c>
      <c r="E8" s="3" t="s">
        <v>21</v>
      </c>
      <c r="F8" s="3" t="s">
        <v>11</v>
      </c>
    </row>
    <row r="9" customFormat="false" ht="49.5" hidden="false" customHeight="true" outlineLevel="0" collapsed="false">
      <c r="A9" s="3" t="n">
        <v>7</v>
      </c>
      <c r="B9" s="3" t="s">
        <v>7</v>
      </c>
      <c r="C9" s="3" t="s">
        <v>22</v>
      </c>
      <c r="D9" s="5" t="s">
        <v>23</v>
      </c>
      <c r="E9" s="3" t="s">
        <v>24</v>
      </c>
      <c r="F9" s="3" t="s">
        <v>25</v>
      </c>
    </row>
    <row r="10" customFormat="false" ht="49.5" hidden="false" customHeight="true" outlineLevel="0" collapsed="false">
      <c r="A10" s="3" t="n">
        <v>8</v>
      </c>
      <c r="B10" s="3" t="s">
        <v>7</v>
      </c>
      <c r="C10" s="3" t="s">
        <v>26</v>
      </c>
      <c r="D10" s="4" t="s">
        <v>9</v>
      </c>
      <c r="E10" s="3" t="s">
        <v>27</v>
      </c>
      <c r="F10" s="3" t="s">
        <v>11</v>
      </c>
    </row>
    <row r="11" customFormat="false" ht="27.75" hidden="false" customHeight="true" outlineLevel="0" collapsed="false">
      <c r="A11" s="2" t="s">
        <v>28</v>
      </c>
      <c r="B11" s="2"/>
      <c r="C11" s="2"/>
      <c r="D11" s="2"/>
      <c r="E11" s="2"/>
      <c r="F11" s="2"/>
    </row>
    <row r="12" customFormat="false" ht="49.5" hidden="false" customHeight="true" outlineLevel="0" collapsed="false">
      <c r="A12" s="3" t="n">
        <v>9</v>
      </c>
      <c r="B12" s="3" t="s">
        <v>29</v>
      </c>
      <c r="C12" s="3" t="s">
        <v>30</v>
      </c>
      <c r="D12" s="4" t="s">
        <v>9</v>
      </c>
      <c r="E12" s="3" t="s">
        <v>31</v>
      </c>
      <c r="F12" s="3" t="s">
        <v>11</v>
      </c>
    </row>
    <row r="13" customFormat="false" ht="49.5" hidden="false" customHeight="true" outlineLevel="0" collapsed="false">
      <c r="A13" s="3" t="n">
        <v>10</v>
      </c>
      <c r="B13" s="3" t="s">
        <v>29</v>
      </c>
      <c r="C13" s="3" t="s">
        <v>32</v>
      </c>
      <c r="D13" s="4" t="s">
        <v>9</v>
      </c>
      <c r="E13" s="3" t="s">
        <v>33</v>
      </c>
      <c r="F13" s="3" t="s">
        <v>11</v>
      </c>
    </row>
    <row r="14" customFormat="false" ht="49.5" hidden="false" customHeight="true" outlineLevel="0" collapsed="false">
      <c r="A14" s="3" t="n">
        <v>11</v>
      </c>
      <c r="B14" s="3" t="s">
        <v>29</v>
      </c>
      <c r="C14" s="3" t="s">
        <v>34</v>
      </c>
      <c r="D14" s="4" t="s">
        <v>9</v>
      </c>
      <c r="E14" s="3" t="s">
        <v>35</v>
      </c>
      <c r="F14" s="3" t="s">
        <v>11</v>
      </c>
    </row>
    <row r="15" customFormat="false" ht="49.5" hidden="false" customHeight="true" outlineLevel="0" collapsed="false">
      <c r="A15" s="3" t="n">
        <v>12</v>
      </c>
      <c r="B15" s="3" t="s">
        <v>29</v>
      </c>
      <c r="C15" s="3" t="s">
        <v>36</v>
      </c>
      <c r="D15" s="5" t="s">
        <v>23</v>
      </c>
      <c r="E15" s="3" t="s">
        <v>37</v>
      </c>
      <c r="F15" s="3" t="s">
        <v>38</v>
      </c>
    </row>
    <row r="16" customFormat="false" ht="49.5" hidden="false" customHeight="true" outlineLevel="0" collapsed="false">
      <c r="A16" s="3" t="n">
        <v>13</v>
      </c>
      <c r="B16" s="3" t="s">
        <v>29</v>
      </c>
      <c r="C16" s="3" t="s">
        <v>39</v>
      </c>
      <c r="D16" s="4" t="s">
        <v>9</v>
      </c>
      <c r="E16" s="3" t="s">
        <v>40</v>
      </c>
      <c r="F16" s="3" t="s">
        <v>11</v>
      </c>
    </row>
    <row r="17" customFormat="false" ht="49.5" hidden="false" customHeight="true" outlineLevel="0" collapsed="false">
      <c r="A17" s="3" t="n">
        <v>14</v>
      </c>
      <c r="B17" s="3" t="s">
        <v>29</v>
      </c>
      <c r="C17" s="3" t="s">
        <v>41</v>
      </c>
      <c r="D17" s="4" t="s">
        <v>9</v>
      </c>
      <c r="E17" s="3" t="s">
        <v>42</v>
      </c>
      <c r="F17" s="3" t="s">
        <v>11</v>
      </c>
    </row>
    <row r="18" customFormat="false" ht="49.5" hidden="false" customHeight="true" outlineLevel="0" collapsed="false">
      <c r="A18" s="3" t="n">
        <v>15</v>
      </c>
      <c r="B18" s="3" t="s">
        <v>29</v>
      </c>
      <c r="C18" s="3" t="s">
        <v>43</v>
      </c>
      <c r="D18" s="5" t="s">
        <v>23</v>
      </c>
      <c r="E18" s="3" t="s">
        <v>44</v>
      </c>
      <c r="F18" s="3" t="s">
        <v>45</v>
      </c>
    </row>
    <row r="19" customFormat="false" ht="27.75" hidden="false" customHeight="true" outlineLevel="0" collapsed="false">
      <c r="A19" s="2" t="s">
        <v>46</v>
      </c>
      <c r="B19" s="2"/>
      <c r="C19" s="2"/>
      <c r="D19" s="2"/>
      <c r="E19" s="2"/>
      <c r="F19" s="2"/>
    </row>
    <row r="20" customFormat="false" ht="49.5" hidden="false" customHeight="true" outlineLevel="0" collapsed="false">
      <c r="A20" s="3" t="n">
        <v>16</v>
      </c>
      <c r="B20" s="3" t="s">
        <v>47</v>
      </c>
      <c r="C20" s="3" t="s">
        <v>48</v>
      </c>
      <c r="D20" s="4" t="s">
        <v>9</v>
      </c>
      <c r="E20" s="3" t="s">
        <v>49</v>
      </c>
      <c r="F20" s="3" t="s">
        <v>11</v>
      </c>
    </row>
    <row r="21" customFormat="false" ht="49.5" hidden="false" customHeight="true" outlineLevel="0" collapsed="false">
      <c r="A21" s="3" t="n">
        <v>17</v>
      </c>
      <c r="B21" s="3" t="s">
        <v>47</v>
      </c>
      <c r="C21" s="3" t="s">
        <v>50</v>
      </c>
      <c r="D21" s="4" t="s">
        <v>9</v>
      </c>
      <c r="E21" s="3" t="s">
        <v>51</v>
      </c>
      <c r="F21" s="3" t="s">
        <v>11</v>
      </c>
    </row>
    <row r="22" customFormat="false" ht="49.5" hidden="false" customHeight="true" outlineLevel="0" collapsed="false">
      <c r="A22" s="3" t="n">
        <v>18</v>
      </c>
      <c r="B22" s="3" t="s">
        <v>47</v>
      </c>
      <c r="C22" s="3" t="s">
        <v>52</v>
      </c>
      <c r="D22" s="4" t="s">
        <v>9</v>
      </c>
      <c r="E22" s="3" t="s">
        <v>53</v>
      </c>
      <c r="F22" s="3" t="s">
        <v>11</v>
      </c>
    </row>
    <row r="23" customFormat="false" ht="49.5" hidden="false" customHeight="true" outlineLevel="0" collapsed="false">
      <c r="A23" s="3" t="n">
        <v>19</v>
      </c>
      <c r="B23" s="3" t="s">
        <v>47</v>
      </c>
      <c r="C23" s="3" t="s">
        <v>54</v>
      </c>
      <c r="D23" s="6" t="s">
        <v>55</v>
      </c>
      <c r="E23" s="3" t="s">
        <v>56</v>
      </c>
      <c r="F23" s="3" t="s">
        <v>57</v>
      </c>
    </row>
    <row r="24" customFormat="false" ht="49.5" hidden="false" customHeight="true" outlineLevel="0" collapsed="false">
      <c r="A24" s="3" t="n">
        <v>20</v>
      </c>
      <c r="B24" s="3" t="s">
        <v>47</v>
      </c>
      <c r="C24" s="3" t="s">
        <v>58</v>
      </c>
      <c r="D24" s="5" t="s">
        <v>23</v>
      </c>
      <c r="E24" s="3" t="s">
        <v>59</v>
      </c>
      <c r="F24" s="3" t="s">
        <v>60</v>
      </c>
    </row>
    <row r="25" customFormat="false" ht="27.75" hidden="false" customHeight="true" outlineLevel="0" collapsed="false">
      <c r="A25" s="2" t="s">
        <v>61</v>
      </c>
      <c r="B25" s="2"/>
      <c r="C25" s="2"/>
      <c r="D25" s="2"/>
      <c r="E25" s="2"/>
      <c r="F25" s="2"/>
    </row>
    <row r="26" customFormat="false" ht="49.5" hidden="false" customHeight="true" outlineLevel="0" collapsed="false">
      <c r="A26" s="3" t="n">
        <v>21</v>
      </c>
      <c r="B26" s="3" t="s">
        <v>62</v>
      </c>
      <c r="C26" s="3" t="s">
        <v>63</v>
      </c>
      <c r="D26" s="4" t="s">
        <v>9</v>
      </c>
      <c r="E26" s="3" t="s">
        <v>64</v>
      </c>
      <c r="F26" s="3" t="s">
        <v>11</v>
      </c>
    </row>
    <row r="27" customFormat="false" ht="49.5" hidden="false" customHeight="true" outlineLevel="0" collapsed="false">
      <c r="A27" s="3" t="n">
        <v>22</v>
      </c>
      <c r="B27" s="3" t="s">
        <v>62</v>
      </c>
      <c r="C27" s="3" t="s">
        <v>65</v>
      </c>
      <c r="D27" s="5" t="s">
        <v>23</v>
      </c>
      <c r="E27" s="3" t="s">
        <v>66</v>
      </c>
      <c r="F27" s="3" t="s">
        <v>67</v>
      </c>
    </row>
    <row r="28" customFormat="false" ht="49.5" hidden="false" customHeight="true" outlineLevel="0" collapsed="false">
      <c r="A28" s="3" t="n">
        <v>23</v>
      </c>
      <c r="B28" s="3" t="s">
        <v>62</v>
      </c>
      <c r="C28" s="3" t="s">
        <v>68</v>
      </c>
      <c r="D28" s="5" t="s">
        <v>23</v>
      </c>
      <c r="E28" s="3" t="s">
        <v>69</v>
      </c>
      <c r="F28" s="3" t="s">
        <v>70</v>
      </c>
    </row>
    <row r="29" customFormat="false" ht="49.5" hidden="false" customHeight="true" outlineLevel="0" collapsed="false">
      <c r="A29" s="3" t="n">
        <v>24</v>
      </c>
      <c r="B29" s="3" t="s">
        <v>62</v>
      </c>
      <c r="C29" s="3" t="s">
        <v>71</v>
      </c>
      <c r="D29" s="5" t="s">
        <v>23</v>
      </c>
      <c r="E29" s="3" t="s">
        <v>72</v>
      </c>
      <c r="F29" s="3" t="s">
        <v>73</v>
      </c>
    </row>
    <row r="30" customFormat="false" ht="49.5" hidden="false" customHeight="true" outlineLevel="0" collapsed="false">
      <c r="A30" s="3" t="n">
        <v>25</v>
      </c>
      <c r="B30" s="3" t="s">
        <v>62</v>
      </c>
      <c r="C30" s="3" t="s">
        <v>74</v>
      </c>
      <c r="D30" s="5" t="s">
        <v>23</v>
      </c>
      <c r="E30" s="3" t="s">
        <v>75</v>
      </c>
      <c r="F30" s="3" t="s">
        <v>76</v>
      </c>
    </row>
    <row r="31" customFormat="false" ht="27.75" hidden="false" customHeight="true" outlineLevel="0" collapsed="false">
      <c r="A31" s="2" t="s">
        <v>77</v>
      </c>
      <c r="B31" s="2"/>
      <c r="C31" s="2"/>
      <c r="D31" s="2"/>
      <c r="E31" s="2"/>
      <c r="F31" s="2"/>
    </row>
    <row r="32" customFormat="false" ht="49.5" hidden="false" customHeight="true" outlineLevel="0" collapsed="false">
      <c r="A32" s="3" t="n">
        <v>26</v>
      </c>
      <c r="B32" s="3" t="s">
        <v>78</v>
      </c>
      <c r="C32" s="3" t="s">
        <v>79</v>
      </c>
      <c r="D32" s="4" t="s">
        <v>9</v>
      </c>
      <c r="E32" s="3" t="s">
        <v>80</v>
      </c>
      <c r="F32" s="3" t="s">
        <v>11</v>
      </c>
    </row>
    <row r="33" customFormat="false" ht="49.5" hidden="false" customHeight="true" outlineLevel="0" collapsed="false">
      <c r="A33" s="3" t="n">
        <v>27</v>
      </c>
      <c r="B33" s="3" t="s">
        <v>78</v>
      </c>
      <c r="C33" s="3" t="s">
        <v>81</v>
      </c>
      <c r="D33" s="5" t="s">
        <v>23</v>
      </c>
      <c r="E33" s="3" t="s">
        <v>82</v>
      </c>
      <c r="F33" s="3" t="s">
        <v>83</v>
      </c>
    </row>
    <row r="34" customFormat="false" ht="27.75" hidden="false" customHeight="true" outlineLevel="0" collapsed="false">
      <c r="A34" s="2" t="s">
        <v>84</v>
      </c>
      <c r="B34" s="2"/>
      <c r="C34" s="2"/>
      <c r="D34" s="2"/>
      <c r="E34" s="2"/>
      <c r="F34" s="2"/>
    </row>
    <row r="35" customFormat="false" ht="49.5" hidden="false" customHeight="true" outlineLevel="0" collapsed="false">
      <c r="A35" s="3" t="n">
        <v>28</v>
      </c>
      <c r="B35" s="3" t="s">
        <v>85</v>
      </c>
      <c r="C35" s="3" t="s">
        <v>86</v>
      </c>
      <c r="D35" s="4" t="s">
        <v>9</v>
      </c>
      <c r="E35" s="3" t="s">
        <v>87</v>
      </c>
      <c r="F35" s="3" t="s">
        <v>11</v>
      </c>
    </row>
    <row r="36" customFormat="false" ht="49.5" hidden="false" customHeight="true" outlineLevel="0" collapsed="false">
      <c r="A36" s="3" t="n">
        <v>29</v>
      </c>
      <c r="B36" s="3" t="s">
        <v>85</v>
      </c>
      <c r="C36" s="3" t="s">
        <v>88</v>
      </c>
      <c r="D36" s="4" t="s">
        <v>9</v>
      </c>
      <c r="E36" s="3" t="s">
        <v>89</v>
      </c>
      <c r="F36" s="3" t="s">
        <v>11</v>
      </c>
    </row>
    <row r="37" customFormat="false" ht="49.5" hidden="false" customHeight="true" outlineLevel="0" collapsed="false">
      <c r="A37" s="3" t="n">
        <v>30</v>
      </c>
      <c r="B37" s="3" t="s">
        <v>85</v>
      </c>
      <c r="C37" s="3" t="s">
        <v>90</v>
      </c>
      <c r="D37" s="4" t="s">
        <v>9</v>
      </c>
      <c r="E37" s="3" t="s">
        <v>91</v>
      </c>
      <c r="F37" s="3" t="s">
        <v>11</v>
      </c>
    </row>
    <row r="38" customFormat="false" ht="49.5" hidden="false" customHeight="true" outlineLevel="0" collapsed="false">
      <c r="A38" s="3" t="n">
        <v>31</v>
      </c>
      <c r="B38" s="3" t="s">
        <v>85</v>
      </c>
      <c r="C38" s="3" t="s">
        <v>92</v>
      </c>
      <c r="D38" s="4" t="s">
        <v>9</v>
      </c>
      <c r="E38" s="3" t="s">
        <v>93</v>
      </c>
      <c r="F38" s="3" t="s">
        <v>11</v>
      </c>
    </row>
    <row r="39" customFormat="false" ht="49.5" hidden="false" customHeight="true" outlineLevel="0" collapsed="false">
      <c r="A39" s="3" t="n">
        <v>32</v>
      </c>
      <c r="B39" s="3" t="s">
        <v>85</v>
      </c>
      <c r="C39" s="3" t="s">
        <v>94</v>
      </c>
      <c r="D39" s="5" t="s">
        <v>23</v>
      </c>
      <c r="E39" s="3" t="s">
        <v>95</v>
      </c>
      <c r="F39" s="3" t="s">
        <v>96</v>
      </c>
    </row>
    <row r="40" customFormat="false" ht="49.5" hidden="false" customHeight="true" outlineLevel="0" collapsed="false">
      <c r="A40" s="3" t="n">
        <v>33</v>
      </c>
      <c r="B40" s="3" t="s">
        <v>85</v>
      </c>
      <c r="C40" s="3" t="s">
        <v>97</v>
      </c>
      <c r="D40" s="5" t="s">
        <v>23</v>
      </c>
      <c r="E40" s="3" t="s">
        <v>98</v>
      </c>
      <c r="F40" s="3" t="s">
        <v>99</v>
      </c>
    </row>
    <row r="41" customFormat="false" ht="27.75" hidden="false" customHeight="true" outlineLevel="0" collapsed="false">
      <c r="A41" s="2" t="s">
        <v>100</v>
      </c>
      <c r="B41" s="2"/>
      <c r="C41" s="2"/>
      <c r="D41" s="2"/>
      <c r="E41" s="2"/>
      <c r="F41" s="2"/>
    </row>
    <row r="42" customFormat="false" ht="49.5" hidden="false" customHeight="true" outlineLevel="0" collapsed="false">
      <c r="A42" s="3" t="n">
        <v>34</v>
      </c>
      <c r="B42" s="3" t="s">
        <v>101</v>
      </c>
      <c r="C42" s="3" t="s">
        <v>102</v>
      </c>
      <c r="D42" s="4" t="s">
        <v>9</v>
      </c>
      <c r="E42" s="3" t="s">
        <v>103</v>
      </c>
      <c r="F42" s="3" t="s">
        <v>11</v>
      </c>
    </row>
    <row r="43" customFormat="false" ht="49.5" hidden="false" customHeight="true" outlineLevel="0" collapsed="false">
      <c r="A43" s="3" t="n">
        <v>35</v>
      </c>
      <c r="B43" s="3" t="s">
        <v>101</v>
      </c>
      <c r="C43" s="3" t="s">
        <v>104</v>
      </c>
      <c r="D43" s="4" t="s">
        <v>9</v>
      </c>
      <c r="E43" s="3" t="s">
        <v>105</v>
      </c>
      <c r="F43" s="3" t="s">
        <v>11</v>
      </c>
    </row>
    <row r="44" customFormat="false" ht="49.5" hidden="false" customHeight="true" outlineLevel="0" collapsed="false">
      <c r="A44" s="3" t="n">
        <v>36</v>
      </c>
      <c r="B44" s="3" t="s">
        <v>106</v>
      </c>
      <c r="C44" s="3" t="s">
        <v>107</v>
      </c>
      <c r="D44" s="4" t="s">
        <v>9</v>
      </c>
      <c r="E44" s="3" t="s">
        <v>108</v>
      </c>
      <c r="F44" s="3" t="s">
        <v>11</v>
      </c>
    </row>
    <row r="45" customFormat="false" ht="49.5" hidden="false" customHeight="true" outlineLevel="0" collapsed="false">
      <c r="A45" s="3" t="n">
        <v>37</v>
      </c>
      <c r="B45" s="3" t="s">
        <v>106</v>
      </c>
      <c r="C45" s="3" t="s">
        <v>109</v>
      </c>
      <c r="D45" s="4" t="s">
        <v>9</v>
      </c>
      <c r="E45" s="3" t="s">
        <v>110</v>
      </c>
      <c r="F45" s="3" t="s">
        <v>11</v>
      </c>
    </row>
    <row r="46" customFormat="false" ht="49.5" hidden="false" customHeight="true" outlineLevel="0" collapsed="false">
      <c r="A46" s="3" t="n">
        <v>38</v>
      </c>
      <c r="B46" s="3" t="s">
        <v>106</v>
      </c>
      <c r="C46" s="3" t="s">
        <v>111</v>
      </c>
      <c r="D46" s="4" t="s">
        <v>9</v>
      </c>
      <c r="E46" s="3" t="s">
        <v>112</v>
      </c>
      <c r="F46" s="3" t="s">
        <v>11</v>
      </c>
    </row>
    <row r="47" customFormat="false" ht="49.5" hidden="false" customHeight="true" outlineLevel="0" collapsed="false">
      <c r="A47" s="3" t="n">
        <v>39</v>
      </c>
      <c r="B47" s="3" t="s">
        <v>113</v>
      </c>
      <c r="C47" s="3" t="s">
        <v>114</v>
      </c>
      <c r="D47" s="5" t="s">
        <v>23</v>
      </c>
      <c r="E47" s="3" t="s">
        <v>115</v>
      </c>
      <c r="F47" s="3" t="s">
        <v>116</v>
      </c>
    </row>
  </sheetData>
  <mergeCells count="7">
    <mergeCell ref="A2:F2"/>
    <mergeCell ref="A11:F11"/>
    <mergeCell ref="A19:F19"/>
    <mergeCell ref="A25:F25"/>
    <mergeCell ref="A31:F31"/>
    <mergeCell ref="A34:F34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7" t="s">
        <v>1</v>
      </c>
      <c r="B1" s="7" t="s">
        <v>9</v>
      </c>
      <c r="C1" s="7" t="s">
        <v>55</v>
      </c>
      <c r="D1" s="7" t="s">
        <v>23</v>
      </c>
      <c r="E1" s="7" t="s">
        <v>117</v>
      </c>
    </row>
    <row r="2" customFormat="false" ht="15" hidden="false" customHeight="false" outlineLevel="0" collapsed="false">
      <c r="A2" s="8" t="s">
        <v>118</v>
      </c>
      <c r="B2" s="9" t="n">
        <v>7</v>
      </c>
      <c r="C2" s="10" t="n">
        <v>0</v>
      </c>
      <c r="D2" s="11" t="n">
        <v>1</v>
      </c>
      <c r="E2" s="12" t="n">
        <f aca="false">SUM(B2:D2)</f>
        <v>8</v>
      </c>
    </row>
    <row r="3" customFormat="false" ht="15" hidden="false" customHeight="false" outlineLevel="0" collapsed="false">
      <c r="A3" s="8" t="s">
        <v>119</v>
      </c>
      <c r="B3" s="9" t="n">
        <v>5</v>
      </c>
      <c r="C3" s="10" t="n">
        <v>0</v>
      </c>
      <c r="D3" s="11" t="n">
        <v>2</v>
      </c>
      <c r="E3" s="12" t="n">
        <f aca="false">SUM(B3:D3)</f>
        <v>7</v>
      </c>
    </row>
    <row r="4" customFormat="false" ht="15" hidden="false" customHeight="false" outlineLevel="0" collapsed="false">
      <c r="A4" s="8" t="s">
        <v>120</v>
      </c>
      <c r="B4" s="9" t="n">
        <v>3</v>
      </c>
      <c r="C4" s="10" t="n">
        <v>1</v>
      </c>
      <c r="D4" s="11" t="n">
        <v>1</v>
      </c>
      <c r="E4" s="12" t="n">
        <f aca="false">SUM(B4:D4)</f>
        <v>5</v>
      </c>
    </row>
    <row r="5" customFormat="false" ht="15" hidden="false" customHeight="false" outlineLevel="0" collapsed="false">
      <c r="A5" s="8" t="s">
        <v>121</v>
      </c>
      <c r="B5" s="9" t="n">
        <v>1</v>
      </c>
      <c r="C5" s="10" t="n">
        <v>0</v>
      </c>
      <c r="D5" s="11" t="n">
        <v>4</v>
      </c>
      <c r="E5" s="12" t="n">
        <f aca="false">SUM(B5:D5)</f>
        <v>5</v>
      </c>
    </row>
    <row r="6" customFormat="false" ht="15" hidden="false" customHeight="false" outlineLevel="0" collapsed="false">
      <c r="A6" s="8" t="s">
        <v>122</v>
      </c>
      <c r="B6" s="9" t="n">
        <v>1</v>
      </c>
      <c r="C6" s="10" t="n">
        <v>0</v>
      </c>
      <c r="D6" s="11" t="n">
        <v>1</v>
      </c>
      <c r="E6" s="12" t="n">
        <f aca="false">SUM(B6:D6)</f>
        <v>2</v>
      </c>
    </row>
    <row r="7" customFormat="false" ht="15" hidden="false" customHeight="false" outlineLevel="0" collapsed="false">
      <c r="A7" s="8" t="s">
        <v>85</v>
      </c>
      <c r="B7" s="9" t="n">
        <v>4</v>
      </c>
      <c r="C7" s="10" t="n">
        <v>0</v>
      </c>
      <c r="D7" s="11" t="n">
        <v>2</v>
      </c>
      <c r="E7" s="12" t="n">
        <f aca="false">SUM(B7:D7)</f>
        <v>6</v>
      </c>
    </row>
    <row r="8" customFormat="false" ht="15" hidden="false" customHeight="false" outlineLevel="0" collapsed="false">
      <c r="A8" s="8" t="s">
        <v>113</v>
      </c>
      <c r="B8" s="9" t="n">
        <v>5</v>
      </c>
      <c r="C8" s="10" t="n">
        <v>0</v>
      </c>
      <c r="D8" s="11" t="n">
        <v>1</v>
      </c>
      <c r="E8" s="12" t="n">
        <f aca="false">SUM(B8:D8)</f>
        <v>6</v>
      </c>
    </row>
    <row r="9" customFormat="false" ht="15" hidden="false" customHeight="false" outlineLevel="0" collapsed="false">
      <c r="A9" s="13" t="s">
        <v>123</v>
      </c>
      <c r="B9" s="14" t="n">
        <f aca="false">SUM(B2:B8)</f>
        <v>26</v>
      </c>
      <c r="C9" s="14" t="n">
        <f aca="false">SUM(C2:C8)</f>
        <v>1</v>
      </c>
      <c r="D9" s="14" t="n">
        <f aca="false">SUM(D2:D8)</f>
        <v>12</v>
      </c>
      <c r="E9" s="14" t="n">
        <f aca="false">SUM(E2:E8)</f>
        <v>39</v>
      </c>
    </row>
    <row r="11" customFormat="false" ht="15" hidden="false" customHeight="false" outlineLevel="0" collapsed="false">
      <c r="A11" s="15" t="s">
        <v>124</v>
      </c>
      <c r="B11" s="16" t="n">
        <f aca="false">B9/E9</f>
        <v>0.666666666666667</v>
      </c>
    </row>
    <row r="13" customFormat="false" ht="15" hidden="false" customHeight="false" outlineLevel="0" collapsed="false">
      <c r="A13" s="15" t="s">
        <v>125</v>
      </c>
    </row>
    <row r="14" customFormat="false" ht="15" hidden="false" customHeight="false" outlineLevel="0" collapsed="false">
      <c r="A14" s="17" t="s">
        <v>9</v>
      </c>
      <c r="B14" s="18" t="s">
        <v>126</v>
      </c>
    </row>
    <row r="15" customFormat="false" ht="15" hidden="false" customHeight="false" outlineLevel="0" collapsed="false">
      <c r="A15" s="19" t="s">
        <v>55</v>
      </c>
      <c r="B15" s="18" t="s">
        <v>127</v>
      </c>
    </row>
    <row r="16" customFormat="false" ht="15" hidden="false" customHeight="false" outlineLevel="0" collapsed="false">
      <c r="A16" s="20" t="s">
        <v>23</v>
      </c>
      <c r="B16" s="18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2026-02-16T03:47:35Z</dcterms:created>
  <dc:creator>openpyxl</dc:creator>
  <dc:description/>
  <dc:language>en-US</dc:language>
  <cp:lastModifiedBy/>
  <dcterms:modified xsi:type="dcterms:W3CDTF">2026-02-16T03:47:35Z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